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el\Desktop\Graduation Project\"/>
    </mc:Choice>
  </mc:AlternateContent>
  <xr:revisionPtr revIDLastSave="0" documentId="13_ncr:1_{6F96A3D9-C711-4C3F-B537-EED66FD46834}" xr6:coauthVersionLast="47" xr6:coauthVersionMax="47" xr10:uidLastSave="{00000000-0000-0000-0000-000000000000}"/>
  <bookViews>
    <workbookView xWindow="-108" yWindow="-108" windowWidth="23256" windowHeight="12456" xr2:uid="{B27F31D3-7EA3-4DF3-9709-C9A625B962BE}"/>
  </bookViews>
  <sheets>
    <sheet name="Sheet1" sheetId="1" r:id="rId1"/>
  </sheets>
  <definedNames>
    <definedName name="_xlnm._FilterDatabase" localSheetId="0" hidden="1">Sheet1!$A$1:$I$30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F46" i="1"/>
  <c r="G45" i="1"/>
  <c r="F45" i="1"/>
  <c r="F44" i="1"/>
  <c r="G43" i="1"/>
  <c r="F43" i="1"/>
  <c r="F42" i="1"/>
  <c r="G33" i="1"/>
  <c r="F33" i="1"/>
  <c r="G32" i="1"/>
  <c r="F32" i="1"/>
  <c r="G29" i="1"/>
  <c r="F29" i="1"/>
  <c r="G28" i="1"/>
  <c r="F28" i="1"/>
  <c r="G27" i="1"/>
  <c r="F27" i="1"/>
  <c r="G25" i="1"/>
  <c r="F25" i="1"/>
  <c r="G24" i="1"/>
  <c r="F24" i="1"/>
  <c r="G23" i="1"/>
  <c r="F23" i="1"/>
  <c r="G22" i="1"/>
  <c r="F22" i="1"/>
  <c r="G20" i="1"/>
  <c r="F20" i="1"/>
  <c r="G19" i="1"/>
  <c r="F19" i="1"/>
  <c r="G17" i="1"/>
  <c r="F17" i="1"/>
  <c r="G12" i="1"/>
  <c r="F12" i="1"/>
  <c r="G6" i="1"/>
  <c r="F6" i="1"/>
  <c r="G4" i="1"/>
  <c r="F4" i="1"/>
</calcChain>
</file>

<file path=xl/sharedStrings.xml><?xml version="1.0" encoding="utf-8"?>
<sst xmlns="http://schemas.openxmlformats.org/spreadsheetml/2006/main" count="155" uniqueCount="137">
  <si>
    <t>Model File Name</t>
  </si>
  <si>
    <t>Name</t>
  </si>
  <si>
    <t>Shape ID</t>
  </si>
  <si>
    <t>Material ID</t>
  </si>
  <si>
    <t>Rim ID</t>
  </si>
  <si>
    <t>Width (cm)</t>
  </si>
  <si>
    <t>Height (cm)</t>
  </si>
  <si>
    <t>Bridge Pos</t>
  </si>
  <si>
    <t>Feature</t>
  </si>
  <si>
    <t>ID 0</t>
  </si>
  <si>
    <t>ID 1</t>
  </si>
  <si>
    <t>ID 2</t>
  </si>
  <si>
    <t>ID 3</t>
  </si>
  <si>
    <t>ID 4</t>
  </si>
  <si>
    <t>Frame Shape</t>
  </si>
  <si>
    <t>Aviator</t>
  </si>
  <si>
    <t>Round</t>
  </si>
  <si>
    <t>Rectangular</t>
  </si>
  <si>
    <t>Wayfarer</t>
  </si>
  <si>
    <t>Cat-Eye</t>
  </si>
  <si>
    <t>Material</t>
  </si>
  <si>
    <t>Metal</t>
  </si>
  <si>
    <t>Acetate/Plastic</t>
  </si>
  <si>
    <t>Mixed</t>
  </si>
  <si>
    <t>Wood/Other</t>
  </si>
  <si>
    <t>—</t>
  </si>
  <si>
    <t>Rim Type</t>
  </si>
  <si>
    <t>Full-Rim</t>
  </si>
  <si>
    <t>Half-Rim</t>
  </si>
  <si>
    <t>Rimless</t>
  </si>
  <si>
    <t>glass_02</t>
  </si>
  <si>
    <t>glass_01</t>
  </si>
  <si>
    <t>Bold Wayfarer</t>
  </si>
  <si>
    <t>Slim Wayfarer</t>
  </si>
  <si>
    <t>ID 5</t>
  </si>
  <si>
    <t xml:space="preserve">Butterfly </t>
  </si>
  <si>
    <t>glass_03</t>
  </si>
  <si>
    <t>Oversized Sqaure</t>
  </si>
  <si>
    <t>glass_04</t>
  </si>
  <si>
    <t>glass_06</t>
  </si>
  <si>
    <t>Round Wayfarer</t>
  </si>
  <si>
    <t>glass_07</t>
  </si>
  <si>
    <t>glass_08</t>
  </si>
  <si>
    <t>glass_09</t>
  </si>
  <si>
    <t>glass_10</t>
  </si>
  <si>
    <t>glass_11</t>
  </si>
  <si>
    <t>glass_12</t>
  </si>
  <si>
    <t>glass_13</t>
  </si>
  <si>
    <t>glass_14</t>
  </si>
  <si>
    <t>glass_15</t>
  </si>
  <si>
    <t>glass_16</t>
  </si>
  <si>
    <t>glass_17</t>
  </si>
  <si>
    <t>glass_18</t>
  </si>
  <si>
    <t>glass_19</t>
  </si>
  <si>
    <t>glass_20</t>
  </si>
  <si>
    <t>glass_21</t>
  </si>
  <si>
    <t>glass_22</t>
  </si>
  <si>
    <t>glass_23</t>
  </si>
  <si>
    <t>glass_24</t>
  </si>
  <si>
    <t>Double Bridge Aviator</t>
  </si>
  <si>
    <t>Classic Standard Wayfarer</t>
  </si>
  <si>
    <t>scale: 0.5x</t>
  </si>
  <si>
    <t>Classic Standard Cateye</t>
  </si>
  <si>
    <t>Sizes:</t>
  </si>
  <si>
    <t>Small</t>
  </si>
  <si>
    <t>Standard</t>
  </si>
  <si>
    <t>Large</t>
  </si>
  <si>
    <t>Classic Large Cateye</t>
  </si>
  <si>
    <t>Classic Standard Aviator</t>
  </si>
  <si>
    <t>Classic Small Aviator</t>
  </si>
  <si>
    <t>scale: 6x</t>
  </si>
  <si>
    <t>Round Cateye</t>
  </si>
  <si>
    <t>Small Sport Wrap</t>
  </si>
  <si>
    <t>Classic Large Nose Pads Wayfarer</t>
  </si>
  <si>
    <t>Classic Large Molded Nose Pads Wayfarer</t>
  </si>
  <si>
    <t>scale:0.5x</t>
  </si>
  <si>
    <t>Geometric Hexagon</t>
  </si>
  <si>
    <t>Classic Small Wayfarer</t>
  </si>
  <si>
    <t>Soft Rounded Oversized Cateye</t>
  </si>
  <si>
    <t>Sharp Oversized Cateye</t>
  </si>
  <si>
    <t>Clubmaster Wayfarer</t>
  </si>
  <si>
    <t>Chunky Cateye</t>
  </si>
  <si>
    <t>Studded Chunkey Cateye</t>
  </si>
  <si>
    <t>glass_25</t>
  </si>
  <si>
    <t>Classic Large Lens Wayfarer</t>
  </si>
  <si>
    <t>glass_26</t>
  </si>
  <si>
    <t>Large Thick Arms Sport Wrap</t>
  </si>
  <si>
    <t>Large Classic Sport Wrap</t>
  </si>
  <si>
    <t>glass_27</t>
  </si>
  <si>
    <t>scale: 1.25x</t>
  </si>
  <si>
    <t>Classic Round Glasses</t>
  </si>
  <si>
    <t>Pointed Thin Lens Classic Cateye</t>
  </si>
  <si>
    <t>glass_28</t>
  </si>
  <si>
    <t>Classic Large Lens Cateye</t>
  </si>
  <si>
    <t>glass_29</t>
  </si>
  <si>
    <t>Large Geometric Cateye</t>
  </si>
  <si>
    <t>glass_30</t>
  </si>
  <si>
    <t>Oversized Chain Square Temple Cateye</t>
  </si>
  <si>
    <t>glass_31</t>
  </si>
  <si>
    <t>Rimless Round</t>
  </si>
  <si>
    <t>scale:0.8x</t>
  </si>
  <si>
    <t>glass_32</t>
  </si>
  <si>
    <t>Wide Lens Classic Rectangular</t>
  </si>
  <si>
    <t>glass_33</t>
  </si>
  <si>
    <t>Spiked Top Cateye</t>
  </si>
  <si>
    <t>glass_34</t>
  </si>
  <si>
    <t>Round Panto Cateye</t>
  </si>
  <si>
    <t>scale:80x</t>
  </si>
  <si>
    <t>glass_35</t>
  </si>
  <si>
    <t>Butterfly Oversized Round Cateye</t>
  </si>
  <si>
    <t>glass_36</t>
  </si>
  <si>
    <t>Geometric Shield Wrap</t>
  </si>
  <si>
    <t>glass_37</t>
  </si>
  <si>
    <t>Spiked Rims Cateye</t>
  </si>
  <si>
    <t>glass_38</t>
  </si>
  <si>
    <t>Sport Navigator</t>
  </si>
  <si>
    <t>glass_39</t>
  </si>
  <si>
    <t>Keyhole Bridge Panto</t>
  </si>
  <si>
    <t>scale: 4x</t>
  </si>
  <si>
    <t>glass_40</t>
  </si>
  <si>
    <t>Sport Wayfarer</t>
  </si>
  <si>
    <t>glass_41</t>
  </si>
  <si>
    <t>Hexagonal Geometric Navigator</t>
  </si>
  <si>
    <t>scale:1.4x</t>
  </si>
  <si>
    <t>glass_42</t>
  </si>
  <si>
    <t>Double Bridge Square Aviator</t>
  </si>
  <si>
    <t>scale:1.25x</t>
  </si>
  <si>
    <t>glass_43</t>
  </si>
  <si>
    <t>Mid-Rims Rectangular Cateye</t>
  </si>
  <si>
    <t>scale:4x</t>
  </si>
  <si>
    <t>scale:1.2x</t>
  </si>
  <si>
    <t>glass_44</t>
  </si>
  <si>
    <t>Narrow Sharp Cateye</t>
  </si>
  <si>
    <t>glass_45</t>
  </si>
  <si>
    <t>Modern Rectangular Wrap</t>
  </si>
  <si>
    <t>glass_46</t>
  </si>
  <si>
    <t>Geometric Micro Cateye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</si>
</sst>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E785-EE18-40BC-B1AB-808F2186CA97}">
  <dimension ref="A1:Q46"/>
  <sheetViews>
    <sheetView tabSelected="1" topLeftCell="A26" workbookViewId="0">
      <selection activeCell="C43" sqref="C43"/>
    </sheetView>
  </sheetViews>
  <sheetFormatPr defaultRowHeight="14.4" x14ac:dyDescent="0.3"/>
  <cols>
    <col min="1" max="1" width="7.88671875" bestFit="1" customWidth="1"/>
    <col min="2" max="2" width="35.109375" bestFit="1" customWidth="1"/>
    <col min="3" max="3" width="7.109375" bestFit="1" customWidth="1"/>
    <col min="4" max="4" width="8.6640625" bestFit="1" customWidth="1"/>
    <col min="5" max="5" width="7.44140625" bestFit="1" customWidth="1"/>
    <col min="6" max="6" width="6.5546875" bestFit="1" customWidth="1"/>
    <col min="7" max="7" width="7.33203125" bestFit="1" customWidth="1"/>
    <col min="8" max="8" width="7.44140625" bestFit="1" customWidth="1"/>
    <col min="9" max="9" width="9.5546875" bestFit="1" customWidth="1"/>
    <col min="11" max="11" width="8.6640625" bestFit="1" customWidth="1"/>
    <col min="12" max="12" width="8.33203125" bestFit="1" customWidth="1"/>
    <col min="13" max="13" width="8.6640625" bestFit="1" customWidth="1"/>
    <col min="14" max="14" width="8.44140625" bestFit="1" customWidth="1"/>
    <col min="16" max="16" width="8.21875" bestFit="1" customWidth="1"/>
    <col min="17" max="17" width="8.33203125" bestFit="1" customWidth="1"/>
  </cols>
  <sheetData>
    <row r="1" spans="1:17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3" t="s">
        <v>34</v>
      </c>
    </row>
    <row r="2" spans="1:17" ht="28.2" thickBot="1" x14ac:dyDescent="0.35">
      <c r="A2" t="s">
        <v>31</v>
      </c>
      <c r="B2" t="s">
        <v>33</v>
      </c>
      <c r="C2">
        <v>3</v>
      </c>
      <c r="D2">
        <v>0</v>
      </c>
      <c r="E2">
        <v>1</v>
      </c>
      <c r="F2">
        <v>16.16</v>
      </c>
      <c r="G2">
        <v>5.33</v>
      </c>
      <c r="H2">
        <v>0.9</v>
      </c>
      <c r="K2" s="1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4" t="s">
        <v>35</v>
      </c>
    </row>
    <row r="3" spans="1:17" ht="28.2" thickBot="1" x14ac:dyDescent="0.35">
      <c r="A3" t="s">
        <v>30</v>
      </c>
      <c r="B3" t="s">
        <v>32</v>
      </c>
      <c r="C3">
        <v>3</v>
      </c>
      <c r="D3">
        <v>0</v>
      </c>
      <c r="E3">
        <v>0</v>
      </c>
      <c r="F3">
        <v>15.05</v>
      </c>
      <c r="G3">
        <v>4.87</v>
      </c>
      <c r="H3">
        <v>0.9</v>
      </c>
      <c r="K3" s="1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25</v>
      </c>
    </row>
    <row r="4" spans="1:17" ht="28.2" thickBot="1" x14ac:dyDescent="0.35">
      <c r="A4" t="s">
        <v>36</v>
      </c>
      <c r="B4" t="s">
        <v>37</v>
      </c>
      <c r="C4">
        <v>2</v>
      </c>
      <c r="D4">
        <v>1</v>
      </c>
      <c r="E4">
        <v>0</v>
      </c>
      <c r="F4">
        <f>7.82 * 2</f>
        <v>15.64</v>
      </c>
      <c r="G4">
        <f>3.49 * 2</f>
        <v>6.98</v>
      </c>
      <c r="H4">
        <v>0.8</v>
      </c>
      <c r="I4" t="s">
        <v>61</v>
      </c>
      <c r="K4" s="1" t="s">
        <v>26</v>
      </c>
      <c r="L4" s="2" t="s">
        <v>27</v>
      </c>
      <c r="M4" s="2" t="s">
        <v>28</v>
      </c>
      <c r="N4" s="2" t="s">
        <v>29</v>
      </c>
      <c r="O4" s="2" t="s">
        <v>25</v>
      </c>
      <c r="P4" s="2" t="s">
        <v>25</v>
      </c>
    </row>
    <row r="5" spans="1:17" x14ac:dyDescent="0.3">
      <c r="A5" t="s">
        <v>38</v>
      </c>
      <c r="B5" t="s">
        <v>73</v>
      </c>
      <c r="C5">
        <v>3</v>
      </c>
      <c r="D5">
        <v>0</v>
      </c>
      <c r="E5">
        <v>0</v>
      </c>
      <c r="F5">
        <v>17.11</v>
      </c>
      <c r="G5">
        <v>5.87</v>
      </c>
      <c r="H5">
        <v>0.9</v>
      </c>
    </row>
    <row r="6" spans="1:17" x14ac:dyDescent="0.3">
      <c r="A6" t="s">
        <v>39</v>
      </c>
      <c r="B6" t="s">
        <v>40</v>
      </c>
      <c r="C6">
        <v>1</v>
      </c>
      <c r="D6">
        <v>1</v>
      </c>
      <c r="E6">
        <v>1</v>
      </c>
      <c r="F6">
        <f>7.83 * 2</f>
        <v>15.66</v>
      </c>
      <c r="G6">
        <f xml:space="preserve"> 2.57 * 2</f>
        <v>5.14</v>
      </c>
      <c r="H6">
        <v>0.7</v>
      </c>
      <c r="I6" t="s">
        <v>61</v>
      </c>
    </row>
    <row r="7" spans="1:17" x14ac:dyDescent="0.3">
      <c r="A7" t="s">
        <v>41</v>
      </c>
      <c r="B7" t="s">
        <v>62</v>
      </c>
      <c r="C7">
        <v>4</v>
      </c>
      <c r="D7">
        <v>1</v>
      </c>
      <c r="E7">
        <v>0</v>
      </c>
      <c r="F7">
        <v>13</v>
      </c>
      <c r="G7">
        <v>4</v>
      </c>
      <c r="H7">
        <v>0.8</v>
      </c>
    </row>
    <row r="8" spans="1:17" x14ac:dyDescent="0.3">
      <c r="A8" t="s">
        <v>42</v>
      </c>
      <c r="B8" t="s">
        <v>68</v>
      </c>
      <c r="C8">
        <v>0</v>
      </c>
      <c r="D8">
        <v>0</v>
      </c>
      <c r="E8">
        <v>0</v>
      </c>
      <c r="F8">
        <v>16.59</v>
      </c>
      <c r="G8">
        <v>5.49</v>
      </c>
      <c r="H8">
        <v>0.7</v>
      </c>
      <c r="K8" s="6" t="s">
        <v>63</v>
      </c>
      <c r="L8" s="5" t="s">
        <v>64</v>
      </c>
      <c r="M8" s="5" t="s">
        <v>65</v>
      </c>
      <c r="N8" s="5" t="s">
        <v>66</v>
      </c>
    </row>
    <row r="9" spans="1:17" x14ac:dyDescent="0.3">
      <c r="A9" t="s">
        <v>43</v>
      </c>
      <c r="B9" t="s">
        <v>72</v>
      </c>
      <c r="C9">
        <v>2</v>
      </c>
      <c r="D9">
        <v>1</v>
      </c>
      <c r="E9">
        <v>0</v>
      </c>
      <c r="F9">
        <v>10.41</v>
      </c>
      <c r="G9">
        <v>3.02</v>
      </c>
      <c r="H9">
        <v>0.9</v>
      </c>
    </row>
    <row r="10" spans="1:17" x14ac:dyDescent="0.3">
      <c r="A10" t="s">
        <v>44</v>
      </c>
      <c r="B10" t="s">
        <v>59</v>
      </c>
      <c r="C10">
        <v>0</v>
      </c>
      <c r="D10">
        <v>1</v>
      </c>
      <c r="E10">
        <v>0</v>
      </c>
      <c r="F10">
        <v>13.33</v>
      </c>
      <c r="G10">
        <v>4.59</v>
      </c>
      <c r="H10">
        <v>0.5</v>
      </c>
    </row>
    <row r="11" spans="1:17" x14ac:dyDescent="0.3">
      <c r="A11" t="s">
        <v>45</v>
      </c>
      <c r="B11" t="s">
        <v>60</v>
      </c>
      <c r="C11">
        <v>3</v>
      </c>
      <c r="D11">
        <v>0</v>
      </c>
      <c r="E11">
        <v>0</v>
      </c>
      <c r="F11">
        <v>13</v>
      </c>
      <c r="G11">
        <v>5</v>
      </c>
      <c r="H11">
        <v>0.9</v>
      </c>
    </row>
    <row r="12" spans="1:17" x14ac:dyDescent="0.3">
      <c r="A12" t="s">
        <v>46</v>
      </c>
      <c r="B12" t="s">
        <v>67</v>
      </c>
      <c r="C12">
        <v>4</v>
      </c>
      <c r="D12">
        <v>0</v>
      </c>
      <c r="E12">
        <v>0</v>
      </c>
      <c r="F12">
        <f>7.82 * 2</f>
        <v>15.64</v>
      </c>
      <c r="G12">
        <f>2.77 * 2</f>
        <v>5.54</v>
      </c>
      <c r="H12">
        <v>0.8</v>
      </c>
      <c r="I12" t="s">
        <v>61</v>
      </c>
    </row>
    <row r="13" spans="1:17" x14ac:dyDescent="0.3">
      <c r="A13" t="s">
        <v>47</v>
      </c>
      <c r="B13" t="s">
        <v>77</v>
      </c>
      <c r="C13">
        <v>3</v>
      </c>
      <c r="D13">
        <v>1</v>
      </c>
      <c r="E13">
        <v>1</v>
      </c>
      <c r="F13">
        <v>15</v>
      </c>
      <c r="G13">
        <v>5</v>
      </c>
      <c r="H13">
        <v>0.9</v>
      </c>
    </row>
    <row r="14" spans="1:17" x14ac:dyDescent="0.3">
      <c r="A14" t="s">
        <v>48</v>
      </c>
      <c r="B14" t="s">
        <v>71</v>
      </c>
      <c r="C14">
        <v>4</v>
      </c>
      <c r="D14">
        <v>2</v>
      </c>
      <c r="E14">
        <v>0</v>
      </c>
      <c r="F14">
        <v>14.16</v>
      </c>
      <c r="G14">
        <v>5.16</v>
      </c>
      <c r="H14">
        <v>0.6</v>
      </c>
      <c r="I14" t="s">
        <v>70</v>
      </c>
    </row>
    <row r="15" spans="1:17" x14ac:dyDescent="0.3">
      <c r="A15" t="s">
        <v>49</v>
      </c>
      <c r="B15" t="s">
        <v>86</v>
      </c>
      <c r="C15">
        <v>2</v>
      </c>
      <c r="D15">
        <v>1</v>
      </c>
      <c r="E15">
        <v>0</v>
      </c>
      <c r="F15">
        <v>16.73</v>
      </c>
      <c r="G15">
        <v>4.71</v>
      </c>
      <c r="H15">
        <v>0.9</v>
      </c>
    </row>
    <row r="16" spans="1:17" x14ac:dyDescent="0.3">
      <c r="A16" t="s">
        <v>50</v>
      </c>
      <c r="B16" t="s">
        <v>74</v>
      </c>
      <c r="C16">
        <v>0</v>
      </c>
      <c r="D16">
        <v>1</v>
      </c>
      <c r="E16">
        <v>0</v>
      </c>
      <c r="F16">
        <v>15.74</v>
      </c>
      <c r="G16">
        <v>5</v>
      </c>
      <c r="H16">
        <v>0.9</v>
      </c>
      <c r="I16" t="s">
        <v>75</v>
      </c>
    </row>
    <row r="17" spans="1:9" x14ac:dyDescent="0.3">
      <c r="A17" t="s">
        <v>51</v>
      </c>
      <c r="B17" t="s">
        <v>76</v>
      </c>
      <c r="C17">
        <v>2</v>
      </c>
      <c r="D17">
        <v>1</v>
      </c>
      <c r="E17">
        <v>0</v>
      </c>
      <c r="F17">
        <f>7.82 * 2</f>
        <v>15.64</v>
      </c>
      <c r="G17">
        <f>2.42 * 2</f>
        <v>4.84</v>
      </c>
      <c r="H17">
        <v>0.8</v>
      </c>
      <c r="I17" t="s">
        <v>75</v>
      </c>
    </row>
    <row r="18" spans="1:9" x14ac:dyDescent="0.3">
      <c r="A18" t="s">
        <v>52</v>
      </c>
      <c r="B18" t="s">
        <v>69</v>
      </c>
      <c r="C18">
        <v>0</v>
      </c>
      <c r="D18">
        <v>0</v>
      </c>
      <c r="E18">
        <v>0</v>
      </c>
      <c r="F18">
        <v>14</v>
      </c>
      <c r="G18">
        <v>5</v>
      </c>
      <c r="H18">
        <v>0.7</v>
      </c>
    </row>
    <row r="19" spans="1:9" x14ac:dyDescent="0.3">
      <c r="A19" t="s">
        <v>53</v>
      </c>
      <c r="B19" t="s">
        <v>78</v>
      </c>
      <c r="C19">
        <v>4</v>
      </c>
      <c r="D19">
        <v>1</v>
      </c>
      <c r="E19">
        <v>0</v>
      </c>
      <c r="F19">
        <f>7.82 * 2</f>
        <v>15.64</v>
      </c>
      <c r="G19">
        <f>3.51 * 2</f>
        <v>7.02</v>
      </c>
      <c r="H19">
        <v>0.6</v>
      </c>
      <c r="I19" t="s">
        <v>75</v>
      </c>
    </row>
    <row r="20" spans="1:9" x14ac:dyDescent="0.3">
      <c r="A20" t="s">
        <v>54</v>
      </c>
      <c r="B20" t="s">
        <v>79</v>
      </c>
      <c r="C20">
        <v>4</v>
      </c>
      <c r="D20">
        <v>1</v>
      </c>
      <c r="E20">
        <v>0</v>
      </c>
      <c r="F20">
        <f>7.82 * 2</f>
        <v>15.64</v>
      </c>
      <c r="G20">
        <f>3.24 * 2</f>
        <v>6.48</v>
      </c>
      <c r="H20">
        <v>0.6</v>
      </c>
      <c r="I20" t="s">
        <v>75</v>
      </c>
    </row>
    <row r="21" spans="1:9" x14ac:dyDescent="0.3">
      <c r="A21" t="s">
        <v>55</v>
      </c>
      <c r="B21" t="s">
        <v>80</v>
      </c>
      <c r="C21">
        <v>3</v>
      </c>
      <c r="D21">
        <v>2</v>
      </c>
      <c r="E21">
        <v>2</v>
      </c>
      <c r="F21">
        <v>16.329999999999998</v>
      </c>
      <c r="G21">
        <v>5.0199999999999996</v>
      </c>
      <c r="H21">
        <v>0.8</v>
      </c>
    </row>
    <row r="22" spans="1:9" x14ac:dyDescent="0.3">
      <c r="A22" t="s">
        <v>56</v>
      </c>
      <c r="B22" t="s">
        <v>81</v>
      </c>
      <c r="C22">
        <v>4</v>
      </c>
      <c r="D22">
        <v>1</v>
      </c>
      <c r="E22">
        <v>0</v>
      </c>
      <c r="F22">
        <f>7.82 * 2</f>
        <v>15.64</v>
      </c>
      <c r="G22">
        <f>3.12 * 2</f>
        <v>6.24</v>
      </c>
      <c r="H22">
        <v>0.8</v>
      </c>
      <c r="I22" t="s">
        <v>61</v>
      </c>
    </row>
    <row r="23" spans="1:9" x14ac:dyDescent="0.3">
      <c r="A23" t="s">
        <v>57</v>
      </c>
      <c r="B23" t="s">
        <v>82</v>
      </c>
      <c r="C23">
        <v>4</v>
      </c>
      <c r="D23">
        <v>1</v>
      </c>
      <c r="E23">
        <v>0</v>
      </c>
      <c r="F23">
        <f>7.79*2</f>
        <v>15.58</v>
      </c>
      <c r="G23">
        <f>3.21*2</f>
        <v>6.42</v>
      </c>
      <c r="H23">
        <v>0.8</v>
      </c>
      <c r="I23" t="s">
        <v>61</v>
      </c>
    </row>
    <row r="24" spans="1:9" x14ac:dyDescent="0.3">
      <c r="A24" t="s">
        <v>58</v>
      </c>
      <c r="B24" t="s">
        <v>91</v>
      </c>
      <c r="C24">
        <v>4</v>
      </c>
      <c r="D24">
        <v>1</v>
      </c>
      <c r="E24">
        <v>0</v>
      </c>
      <c r="F24">
        <f>7.79 * 2</f>
        <v>15.58</v>
      </c>
      <c r="G24">
        <f>2.69 * 2</f>
        <v>5.38</v>
      </c>
      <c r="H24">
        <v>0.9</v>
      </c>
      <c r="I24" t="s">
        <v>61</v>
      </c>
    </row>
    <row r="25" spans="1:9" x14ac:dyDescent="0.3">
      <c r="A25" t="s">
        <v>83</v>
      </c>
      <c r="B25" t="s">
        <v>84</v>
      </c>
      <c r="C25">
        <v>3</v>
      </c>
      <c r="D25">
        <v>1</v>
      </c>
      <c r="E25">
        <v>0</v>
      </c>
      <c r="F25">
        <f>7.82 * 2</f>
        <v>15.64</v>
      </c>
      <c r="G25">
        <f>3.1 * 2</f>
        <v>6.2</v>
      </c>
      <c r="H25">
        <v>0.8</v>
      </c>
      <c r="I25" t="s">
        <v>61</v>
      </c>
    </row>
    <row r="26" spans="1:9" x14ac:dyDescent="0.3">
      <c r="A26" t="s">
        <v>85</v>
      </c>
      <c r="B26" t="s">
        <v>87</v>
      </c>
      <c r="C26">
        <v>2</v>
      </c>
      <c r="D26">
        <v>1</v>
      </c>
      <c r="E26">
        <v>0</v>
      </c>
      <c r="F26">
        <v>16</v>
      </c>
      <c r="G26">
        <v>5</v>
      </c>
      <c r="H26">
        <v>0.9</v>
      </c>
      <c r="I26" t="s">
        <v>61</v>
      </c>
    </row>
    <row r="27" spans="1:9" x14ac:dyDescent="0.3">
      <c r="A27" t="s">
        <v>88</v>
      </c>
      <c r="B27" t="s">
        <v>90</v>
      </c>
      <c r="C27">
        <v>1</v>
      </c>
      <c r="D27">
        <v>2</v>
      </c>
      <c r="E27">
        <v>0</v>
      </c>
      <c r="F27">
        <f>19.81 * 0.75</f>
        <v>14.857499999999998</v>
      </c>
      <c r="G27">
        <f>7.87 * 0.75</f>
        <v>5.9024999999999999</v>
      </c>
      <c r="H27">
        <v>0.9</v>
      </c>
      <c r="I27" t="s">
        <v>89</v>
      </c>
    </row>
    <row r="28" spans="1:9" x14ac:dyDescent="0.3">
      <c r="A28" t="s">
        <v>92</v>
      </c>
      <c r="B28" t="s">
        <v>93</v>
      </c>
      <c r="C28">
        <v>4</v>
      </c>
      <c r="D28">
        <v>1</v>
      </c>
      <c r="E28">
        <v>0</v>
      </c>
      <c r="F28">
        <f>7.78 * 2</f>
        <v>15.56</v>
      </c>
      <c r="G28">
        <f>3.27 * 2</f>
        <v>6.54</v>
      </c>
      <c r="H28">
        <v>0.8</v>
      </c>
      <c r="I28" t="s">
        <v>61</v>
      </c>
    </row>
    <row r="29" spans="1:9" x14ac:dyDescent="0.3">
      <c r="A29" t="s">
        <v>94</v>
      </c>
      <c r="B29" t="s">
        <v>95</v>
      </c>
      <c r="C29">
        <v>4</v>
      </c>
      <c r="D29">
        <v>2</v>
      </c>
      <c r="E29">
        <v>0</v>
      </c>
      <c r="F29">
        <f>20.25 * 0.75</f>
        <v>15.1875</v>
      </c>
      <c r="G29">
        <f>7.69 * 0.75</f>
        <v>5.7675000000000001</v>
      </c>
      <c r="H29">
        <v>0.8</v>
      </c>
      <c r="I29" t="s">
        <v>89</v>
      </c>
    </row>
    <row r="30" spans="1:9" x14ac:dyDescent="0.3">
      <c r="A30" t="s">
        <v>96</v>
      </c>
      <c r="B30" t="s">
        <v>97</v>
      </c>
      <c r="C30">
        <v>4</v>
      </c>
      <c r="D30">
        <v>2</v>
      </c>
      <c r="E30">
        <v>0</v>
      </c>
      <c r="F30">
        <v>16.25</v>
      </c>
      <c r="G30">
        <v>6.35</v>
      </c>
      <c r="H30">
        <v>0.8</v>
      </c>
      <c r="I30" t="s">
        <v>100</v>
      </c>
    </row>
    <row r="31" spans="1:9" x14ac:dyDescent="0.3">
      <c r="A31" t="s">
        <v>98</v>
      </c>
      <c r="B31" t="s">
        <v>99</v>
      </c>
      <c r="C31">
        <v>1</v>
      </c>
      <c r="D31">
        <v>0</v>
      </c>
      <c r="E31">
        <v>1</v>
      </c>
      <c r="F31">
        <v>15.91</v>
      </c>
      <c r="G31">
        <v>5.65</v>
      </c>
      <c r="H31">
        <v>0.8</v>
      </c>
    </row>
    <row r="32" spans="1:9" x14ac:dyDescent="0.3">
      <c r="A32" t="s">
        <v>101</v>
      </c>
      <c r="B32" t="s">
        <v>102</v>
      </c>
      <c r="C32">
        <v>2</v>
      </c>
      <c r="D32">
        <v>1</v>
      </c>
      <c r="E32">
        <v>0</v>
      </c>
      <c r="F32">
        <f>7.85 * 2</f>
        <v>15.7</v>
      </c>
      <c r="G32">
        <f>3.49 * 2</f>
        <v>6.98</v>
      </c>
      <c r="H32">
        <v>0.7</v>
      </c>
      <c r="I32" t="s">
        <v>61</v>
      </c>
    </row>
    <row r="33" spans="1:9" x14ac:dyDescent="0.3">
      <c r="A33" t="s">
        <v>103</v>
      </c>
      <c r="B33" t="s">
        <v>104</v>
      </c>
      <c r="C33">
        <v>4</v>
      </c>
      <c r="D33">
        <v>1</v>
      </c>
      <c r="E33">
        <v>0</v>
      </c>
      <c r="F33">
        <f>7.83 * 2</f>
        <v>15.66</v>
      </c>
      <c r="G33">
        <f xml:space="preserve"> 2.83 * 2</f>
        <v>5.66</v>
      </c>
      <c r="H33">
        <v>0.8</v>
      </c>
      <c r="I33" t="s">
        <v>61</v>
      </c>
    </row>
    <row r="34" spans="1:9" x14ac:dyDescent="0.3">
      <c r="A34" t="s">
        <v>105</v>
      </c>
      <c r="B34" t="s">
        <v>106</v>
      </c>
      <c r="C34">
        <v>1</v>
      </c>
      <c r="D34">
        <v>1</v>
      </c>
      <c r="E34">
        <v>0</v>
      </c>
      <c r="F34">
        <v>15.2</v>
      </c>
      <c r="G34">
        <v>6.4</v>
      </c>
      <c r="H34">
        <v>0.8</v>
      </c>
      <c r="I34" t="s">
        <v>107</v>
      </c>
    </row>
    <row r="35" spans="1:9" x14ac:dyDescent="0.3">
      <c r="A35" t="s">
        <v>108</v>
      </c>
      <c r="B35" t="s">
        <v>109</v>
      </c>
      <c r="C35">
        <v>4</v>
      </c>
      <c r="D35">
        <v>1</v>
      </c>
      <c r="E35">
        <v>0</v>
      </c>
      <c r="F35">
        <v>16</v>
      </c>
      <c r="G35">
        <v>6.4</v>
      </c>
      <c r="H35">
        <v>0.8</v>
      </c>
      <c r="I35" t="s">
        <v>107</v>
      </c>
    </row>
    <row r="36" spans="1:9" x14ac:dyDescent="0.3">
      <c r="A36" t="s">
        <v>110</v>
      </c>
      <c r="B36" t="s">
        <v>111</v>
      </c>
      <c r="C36">
        <v>2</v>
      </c>
      <c r="D36">
        <v>1</v>
      </c>
      <c r="E36">
        <v>0</v>
      </c>
      <c r="F36">
        <v>16</v>
      </c>
      <c r="G36">
        <v>4.8</v>
      </c>
      <c r="H36">
        <v>0.9</v>
      </c>
      <c r="I36" t="s">
        <v>107</v>
      </c>
    </row>
    <row r="37" spans="1:9" x14ac:dyDescent="0.3">
      <c r="A37" t="s">
        <v>112</v>
      </c>
      <c r="B37" t="s">
        <v>113</v>
      </c>
      <c r="C37">
        <v>4</v>
      </c>
      <c r="D37">
        <v>2</v>
      </c>
      <c r="E37">
        <v>0</v>
      </c>
      <c r="F37">
        <v>15.04</v>
      </c>
      <c r="G37">
        <v>5.55</v>
      </c>
      <c r="H37">
        <v>0.8</v>
      </c>
    </row>
    <row r="38" spans="1:9" x14ac:dyDescent="0.3">
      <c r="A38" t="s">
        <v>114</v>
      </c>
      <c r="B38" t="s">
        <v>115</v>
      </c>
      <c r="C38">
        <v>0</v>
      </c>
      <c r="D38">
        <v>2</v>
      </c>
      <c r="E38">
        <v>0</v>
      </c>
      <c r="F38">
        <v>15</v>
      </c>
      <c r="G38">
        <v>4</v>
      </c>
      <c r="H38">
        <v>0.9</v>
      </c>
    </row>
    <row r="39" spans="1:9" x14ac:dyDescent="0.3">
      <c r="A39" t="s">
        <v>116</v>
      </c>
      <c r="B39" t="s">
        <v>117</v>
      </c>
      <c r="C39">
        <v>1</v>
      </c>
      <c r="D39">
        <v>1</v>
      </c>
      <c r="E39">
        <v>0</v>
      </c>
      <c r="F39">
        <v>16</v>
      </c>
      <c r="G39">
        <v>5.75</v>
      </c>
      <c r="H39">
        <v>0.9</v>
      </c>
      <c r="I39" t="s">
        <v>118</v>
      </c>
    </row>
    <row r="40" spans="1:9" x14ac:dyDescent="0.3">
      <c r="A40" t="s">
        <v>119</v>
      </c>
      <c r="B40" t="s">
        <v>120</v>
      </c>
      <c r="C40">
        <v>3</v>
      </c>
      <c r="D40">
        <v>1</v>
      </c>
      <c r="E40">
        <v>0</v>
      </c>
      <c r="F40">
        <v>14</v>
      </c>
      <c r="G40">
        <v>5</v>
      </c>
      <c r="H40">
        <v>0.8</v>
      </c>
    </row>
    <row r="41" spans="1:9" x14ac:dyDescent="0.3">
      <c r="A41" t="s">
        <v>121</v>
      </c>
      <c r="B41" t="s">
        <v>122</v>
      </c>
      <c r="C41">
        <v>2</v>
      </c>
      <c r="D41">
        <v>0</v>
      </c>
      <c r="E41">
        <v>0</v>
      </c>
      <c r="F41">
        <v>13.79</v>
      </c>
      <c r="G41">
        <v>4.1900000000000004</v>
      </c>
      <c r="H41">
        <v>0.8</v>
      </c>
      <c r="I41" t="s">
        <v>123</v>
      </c>
    </row>
    <row r="42" spans="1:9" x14ac:dyDescent="0.3">
      <c r="A42" t="s">
        <v>124</v>
      </c>
      <c r="B42" t="s">
        <v>125</v>
      </c>
      <c r="C42">
        <v>0</v>
      </c>
      <c r="D42">
        <v>0</v>
      </c>
      <c r="E42">
        <v>0</v>
      </c>
      <c r="F42">
        <f>20.22 * 0.75</f>
        <v>15.164999999999999</v>
      </c>
      <c r="G42">
        <v>4.97</v>
      </c>
      <c r="H42">
        <v>0.8</v>
      </c>
      <c r="I42" t="s">
        <v>126</v>
      </c>
    </row>
    <row r="43" spans="1:9" x14ac:dyDescent="0.3">
      <c r="A43" t="s">
        <v>127</v>
      </c>
      <c r="B43" t="s">
        <v>128</v>
      </c>
      <c r="C43">
        <v>4</v>
      </c>
      <c r="D43">
        <v>1</v>
      </c>
      <c r="E43">
        <v>0</v>
      </c>
      <c r="F43">
        <f>3.98 * 4</f>
        <v>15.92</v>
      </c>
      <c r="G43">
        <f>1.36 *4</f>
        <v>5.44</v>
      </c>
      <c r="H43">
        <v>0.8</v>
      </c>
      <c r="I43" t="s">
        <v>129</v>
      </c>
    </row>
    <row r="44" spans="1:9" x14ac:dyDescent="0.3">
      <c r="A44" t="s">
        <v>131</v>
      </c>
      <c r="B44" t="s">
        <v>132</v>
      </c>
      <c r="C44">
        <v>4</v>
      </c>
      <c r="D44">
        <v>1</v>
      </c>
      <c r="E44">
        <v>0</v>
      </c>
      <c r="F44">
        <f>13.11 * 1.2</f>
        <v>15.731999999999999</v>
      </c>
      <c r="G44">
        <v>5.3</v>
      </c>
      <c r="H44">
        <v>0.8</v>
      </c>
      <c r="I44" t="s">
        <v>130</v>
      </c>
    </row>
    <row r="45" spans="1:9" x14ac:dyDescent="0.3">
      <c r="A45" t="s">
        <v>133</v>
      </c>
      <c r="B45" t="s">
        <v>134</v>
      </c>
      <c r="C45">
        <v>2</v>
      </c>
      <c r="D45">
        <v>1</v>
      </c>
      <c r="E45">
        <v>0</v>
      </c>
      <c r="F45">
        <f>7.61 * 2</f>
        <v>15.22</v>
      </c>
      <c r="G45">
        <f>2.47 *2</f>
        <v>4.9400000000000004</v>
      </c>
      <c r="H45">
        <v>0.8</v>
      </c>
    </row>
    <row r="46" spans="1:9" x14ac:dyDescent="0.3">
      <c r="A46" t="s">
        <v>135</v>
      </c>
      <c r="B46" t="s">
        <v>136</v>
      </c>
      <c r="C46">
        <v>4</v>
      </c>
      <c r="D46">
        <v>1</v>
      </c>
      <c r="E46">
        <v>0</v>
      </c>
      <c r="F46">
        <f>7.85 * 2</f>
        <v>15.7</v>
      </c>
      <c r="G46">
        <f>2.07 * 2</f>
        <v>4.1399999999999997</v>
      </c>
      <c r="H46">
        <v>0.8</v>
      </c>
    </row>
  </sheetData>
  <autoFilter ref="A1:I30" xr:uid="{D5B8E785-EE18-40BC-B1AB-808F2186CA97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 Suliman</dc:creator>
  <cp:lastModifiedBy>Abdelrahman A Suliman</cp:lastModifiedBy>
  <dcterms:created xsi:type="dcterms:W3CDTF">2026-03-24T11:51:23Z</dcterms:created>
  <dcterms:modified xsi:type="dcterms:W3CDTF">2026-03-28T12:10:08Z</dcterms:modified>
</cp:coreProperties>
</file>